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vlyon2fr-my.sharepoint.com/personal/abelbachir_univ-lyon2_fr/Documents/Ecole/Eco-gestion/Macro-Eco/Choc_exogene/"/>
    </mc:Choice>
  </mc:AlternateContent>
  <xr:revisionPtr revIDLastSave="59" documentId="11_638F900A6C47AAC232E778B90DF1CE63B5431A71" xr6:coauthVersionLast="47" xr6:coauthVersionMax="47" xr10:uidLastSave="{C988AE5E-C6D8-4742-A957-47A07C6282B7}"/>
  <bookViews>
    <workbookView xWindow="-110" yWindow="-110" windowWidth="19420" windowHeight="10300" activeTab="3" xr2:uid="{00000000-000D-0000-FFFF-FFFF00000000}"/>
  </bookViews>
  <sheets>
    <sheet name="Recap" sheetId="12" r:id="rId1"/>
    <sheet name="Revenu disponible brut" sheetId="3" r:id="rId2"/>
    <sheet name="Consommation" sheetId="4" r:id="rId3"/>
    <sheet name="Investissement" sheetId="11" r:id="rId4"/>
    <sheet name="Dépenses publiqu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2" l="1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U17" i="12"/>
  <c r="V17" i="12"/>
  <c r="W17" i="12"/>
  <c r="X17" i="12"/>
  <c r="Y17" i="12"/>
  <c r="Z17" i="12"/>
  <c r="B17" i="12"/>
  <c r="B9" i="12"/>
  <c r="B11" i="12"/>
  <c r="B10" i="12"/>
  <c r="B15" i="12"/>
  <c r="X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Y15" i="12"/>
  <c r="Z15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B7" i="12"/>
  <c r="D6" i="12"/>
  <c r="D10" i="12" s="1"/>
  <c r="D11" i="12" s="1"/>
  <c r="E6" i="12"/>
  <c r="E10" i="12" s="1"/>
  <c r="E11" i="12" s="1"/>
  <c r="F6" i="12"/>
  <c r="G6" i="12"/>
  <c r="G10" i="12" s="1"/>
  <c r="G11" i="12" s="1"/>
  <c r="H6" i="12"/>
  <c r="H10" i="12" s="1"/>
  <c r="H11" i="12" s="1"/>
  <c r="I6" i="12"/>
  <c r="I10" i="12" s="1"/>
  <c r="I11" i="12" s="1"/>
  <c r="J6" i="12"/>
  <c r="J10" i="12" s="1"/>
  <c r="J11" i="12" s="1"/>
  <c r="K6" i="12"/>
  <c r="K10" i="12" s="1"/>
  <c r="K11" i="12" s="1"/>
  <c r="L6" i="12"/>
  <c r="L10" i="12" s="1"/>
  <c r="L11" i="12" s="1"/>
  <c r="M6" i="12"/>
  <c r="M10" i="12" s="1"/>
  <c r="M11" i="12" s="1"/>
  <c r="N6" i="12"/>
  <c r="N10" i="12" s="1"/>
  <c r="N11" i="12" s="1"/>
  <c r="O6" i="12"/>
  <c r="O10" i="12" s="1"/>
  <c r="O11" i="12" s="1"/>
  <c r="P6" i="12"/>
  <c r="P10" i="12" s="1"/>
  <c r="P11" i="12" s="1"/>
  <c r="Q6" i="12"/>
  <c r="Q10" i="12" s="1"/>
  <c r="Q11" i="12" s="1"/>
  <c r="R6" i="12"/>
  <c r="R10" i="12" s="1"/>
  <c r="R11" i="12" s="1"/>
  <c r="S6" i="12"/>
  <c r="S10" i="12" s="1"/>
  <c r="S11" i="12" s="1"/>
  <c r="T6" i="12"/>
  <c r="T10" i="12" s="1"/>
  <c r="T11" i="12" s="1"/>
  <c r="U6" i="12"/>
  <c r="U10" i="12" s="1"/>
  <c r="U11" i="12" s="1"/>
  <c r="V6" i="12"/>
  <c r="V10" i="12" s="1"/>
  <c r="V11" i="12" s="1"/>
  <c r="W6" i="12"/>
  <c r="W10" i="12" s="1"/>
  <c r="W11" i="12" s="1"/>
  <c r="X6" i="12"/>
  <c r="X10" i="12" s="1"/>
  <c r="X11" i="12" s="1"/>
  <c r="Y6" i="12"/>
  <c r="Y10" i="12" s="1"/>
  <c r="Y11" i="12" s="1"/>
  <c r="Z6" i="12"/>
  <c r="Z10" i="12" s="1"/>
  <c r="Z11" i="12" s="1"/>
  <c r="C6" i="12"/>
  <c r="C10" i="12" s="1"/>
  <c r="C11" i="12" s="1"/>
  <c r="B6" i="12"/>
  <c r="F10" i="12" l="1"/>
  <c r="F11" i="12" s="1"/>
</calcChain>
</file>

<file path=xl/sharedStrings.xml><?xml version="1.0" encoding="utf-8"?>
<sst xmlns="http://schemas.openxmlformats.org/spreadsheetml/2006/main" count="167" uniqueCount="40">
  <si>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</si>
  <si>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</si>
  <si>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</si>
  <si>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</si>
  <si>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</si>
  <si>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</si>
  <si>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</si>
  <si>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</si>
  <si>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</si>
  <si>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</si>
  <si>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</si>
  <si>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</si>
  <si>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</si>
  <si>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</si>
  <si>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</si>
  <si>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</si>
  <si>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</si>
  <si>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</si>
  <si>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</si>
  <si>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</si>
  <si>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</si>
  <si>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</si>
  <si>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</si>
  <si>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</si>
  <si>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</si>
  <si>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Revenu disponible brut</t>
  </si>
  <si>
    <t>Consommation</t>
  </si>
  <si>
    <t/>
  </si>
  <si>
    <t>Grèce</t>
  </si>
  <si>
    <t xml:space="preserve"> </t>
  </si>
  <si>
    <t>t</t>
  </si>
  <si>
    <t>Investissement</t>
  </si>
  <si>
    <t>Depenses Gouvernementales</t>
  </si>
  <si>
    <t>Revenu dispo suppose Yd=(1-t)*(C+I+G)</t>
  </si>
  <si>
    <t>PIB Demande Z=Y=(C+I+G)</t>
  </si>
  <si>
    <t>Revenu suppose Y = Revenu disponible brut*100/75</t>
  </si>
  <si>
    <t>Pmc</t>
  </si>
  <si>
    <t>c0</t>
  </si>
  <si>
    <t>C=c0+Pmc*Revenu disponible</t>
  </si>
  <si>
    <t>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</si>
</sst>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8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none">
        <fgColor rgb="FFF6F6F6"/>
      </patternFill>
    </fill>
    <fill>
      <patternFill patternType="solid">
        <fgColor rgb="FFF6F6F6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0">
    <xf numFmtId="0" fontId="0" fillId="0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  <xf numFmtId="0" fontId="4" fillId="6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7" borderId="0" xfId="0" applyNumberFormat="1" applyFont="1" applyFill="1" applyAlignment="1">
      <alignment horizontal="right" vertical="center" shrinkToFit="1"/>
    </xf>
    <xf numFmtId="0" fontId="4" fillId="6" borderId="0" xfId="4"/>
    <xf numFmtId="165" fontId="2" fillId="7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4" fontId="2" fillId="7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vertical="center"/>
    </xf>
    <xf numFmtId="0" fontId="4" fillId="6" borderId="0" xfId="7"/>
    <xf numFmtId="0" fontId="1" fillId="6" borderId="0" xfId="7" applyFont="1" applyAlignment="1">
      <alignment horizontal="left" vertical="center"/>
    </xf>
    <xf numFmtId="0" fontId="2" fillId="6" borderId="0" xfId="7" applyFont="1" applyAlignment="1">
      <alignment horizontal="left" vertical="center"/>
    </xf>
    <xf numFmtId="0" fontId="4" fillId="6" borderId="0" xfId="8"/>
    <xf numFmtId="0" fontId="1" fillId="6" borderId="0" xfId="8" applyFont="1" applyAlignment="1">
      <alignment horizontal="left" vertical="center"/>
    </xf>
    <xf numFmtId="0" fontId="2" fillId="6" borderId="0" xfId="8" applyFont="1" applyAlignment="1">
      <alignment horizontal="left" vertical="center"/>
    </xf>
    <xf numFmtId="0" fontId="3" fillId="2" borderId="1" xfId="8" applyFont="1" applyFill="1" applyBorder="1" applyAlignment="1">
      <alignment horizontal="right" vertical="center"/>
    </xf>
    <xf numFmtId="0" fontId="1" fillId="3" borderId="1" xfId="8" applyFont="1" applyFill="1" applyBorder="1" applyAlignment="1">
      <alignment horizontal="left" vertical="center"/>
    </xf>
    <xf numFmtId="0" fontId="1" fillId="4" borderId="1" xfId="8" applyFont="1" applyFill="1" applyBorder="1" applyAlignment="1">
      <alignment horizontal="left" vertical="center"/>
    </xf>
    <xf numFmtId="0" fontId="4" fillId="5" borderId="0" xfId="8" applyFill="1"/>
    <xf numFmtId="164" fontId="2" fillId="6" borderId="0" xfId="8" applyNumberFormat="1" applyFont="1" applyAlignment="1">
      <alignment horizontal="right" vertical="center" shrinkToFit="1"/>
    </xf>
    <xf numFmtId="164" fontId="2" fillId="7" borderId="0" xfId="8" applyNumberFormat="1" applyFont="1" applyFill="1" applyAlignment="1">
      <alignment horizontal="right" vertical="center" shrinkToFit="1"/>
    </xf>
    <xf numFmtId="165" fontId="2" fillId="6" borderId="0" xfId="8" applyNumberFormat="1" applyFont="1" applyAlignment="1">
      <alignment horizontal="right" vertical="center" shrinkToFit="1"/>
    </xf>
    <xf numFmtId="165" fontId="2" fillId="7" borderId="0" xfId="8" applyNumberFormat="1" applyFont="1" applyFill="1" applyAlignment="1">
      <alignment horizontal="right" vertical="center" shrinkToFit="1"/>
    </xf>
    <xf numFmtId="0" fontId="3" fillId="2" borderId="1" xfId="8" applyFont="1" applyFill="1" applyBorder="1" applyAlignment="1">
      <alignment vertical="center"/>
    </xf>
    <xf numFmtId="0" fontId="3" fillId="2" borderId="1" xfId="9" applyFont="1" applyFill="1" applyBorder="1" applyAlignment="1">
      <alignment horizontal="right" vertical="center"/>
    </xf>
    <xf numFmtId="0" fontId="1" fillId="3" borderId="1" xfId="9" applyFont="1" applyFill="1" applyBorder="1" applyAlignment="1">
      <alignment horizontal="left" vertical="center"/>
    </xf>
    <xf numFmtId="0" fontId="1" fillId="4" borderId="1" xfId="9" applyFont="1" applyFill="1" applyBorder="1" applyAlignment="1">
      <alignment horizontal="left" vertical="center"/>
    </xf>
    <xf numFmtId="0" fontId="4" fillId="5" borderId="0" xfId="9" applyFill="1"/>
    <xf numFmtId="164" fontId="2" fillId="6" borderId="0" xfId="9" applyNumberFormat="1" applyFont="1" applyAlignment="1">
      <alignment horizontal="right" vertical="center" shrinkToFit="1"/>
    </xf>
    <xf numFmtId="164" fontId="2" fillId="7" borderId="0" xfId="9" applyNumberFormat="1" applyFont="1" applyFill="1" applyAlignment="1">
      <alignment horizontal="right" vertical="center" shrinkToFit="1"/>
    </xf>
    <xf numFmtId="165" fontId="2" fillId="6" borderId="0" xfId="9" applyNumberFormat="1" applyFont="1" applyAlignment="1">
      <alignment horizontal="right" vertical="center" shrinkToFit="1"/>
    </xf>
    <xf numFmtId="165" fontId="2" fillId="7" borderId="0" xfId="9" applyNumberFormat="1" applyFont="1" applyFill="1" applyAlignment="1">
      <alignment horizontal="right" vertical="center" shrinkToFit="1"/>
    </xf>
    <xf numFmtId="0" fontId="3" fillId="2" borderId="1" xfId="9" applyFont="1" applyFill="1" applyBorder="1" applyAlignment="1">
      <alignment vertical="center"/>
    </xf>
    <xf numFmtId="0" fontId="1" fillId="6" borderId="0" xfId="4" applyFont="1" applyAlignment="1">
      <alignment horizontal="left" vertical="center"/>
    </xf>
    <xf numFmtId="0" fontId="2" fillId="6" borderId="0" xfId="4" applyFont="1" applyAlignment="1">
      <alignment horizontal="left" vertical="center"/>
    </xf>
    <xf numFmtId="3" fontId="6" fillId="0" borderId="0" xfId="0" applyNumberFormat="1" applyFont="1" applyAlignment="1">
      <alignment horizontal="right" vertical="center" shrinkToFit="1"/>
    </xf>
    <xf numFmtId="0" fontId="7" fillId="0" borderId="0" xfId="0" applyFont="1"/>
    <xf numFmtId="165" fontId="6" fillId="6" borderId="0" xfId="8" applyNumberFormat="1" applyFont="1" applyAlignment="1">
      <alignment horizontal="right" vertical="center" shrinkToFit="1"/>
    </xf>
    <xf numFmtId="164" fontId="6" fillId="6" borderId="0" xfId="8" applyNumberFormat="1" applyFont="1" applyAlignment="1">
      <alignment horizontal="right" vertical="center" shrinkToFit="1"/>
    </xf>
    <xf numFmtId="165" fontId="0" fillId="0" borderId="0" xfId="0" applyNumberFormat="1"/>
    <xf numFmtId="0" fontId="7" fillId="8" borderId="0" xfId="0" applyFont="1" applyFill="1"/>
    <xf numFmtId="0" fontId="0" fillId="8" borderId="0" xfId="0" applyFill="1"/>
  </cellXfs>
  <cellStyles count="10">
    <cellStyle name="Normal" xfId="0" builtinId="0"/>
    <cellStyle name="Normal 10" xfId="9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Normal 9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/Revenu</a:t>
            </a:r>
            <a:r>
              <a:rPr lang="fr-FR" baseline="0"/>
              <a:t> disponible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Recap!$B$4:$Z$4</c:f>
              <c:numCache>
                <c:formatCode>#,##0</c:formatCode>
                <c:ptCount val="25"/>
                <c:pt idx="0">
                  <c:v>100350</c:v>
                </c:pt>
                <c:pt idx="1">
                  <c:v>105156</c:v>
                </c:pt>
                <c:pt idx="2">
                  <c:v>114615</c:v>
                </c:pt>
                <c:pt idx="3">
                  <c:v>125647</c:v>
                </c:pt>
                <c:pt idx="4">
                  <c:v>134926</c:v>
                </c:pt>
                <c:pt idx="5">
                  <c:v>137317</c:v>
                </c:pt>
                <c:pt idx="6">
                  <c:v>150168</c:v>
                </c:pt>
                <c:pt idx="7">
                  <c:v>159966</c:v>
                </c:pt>
                <c:pt idx="8">
                  <c:v>172592</c:v>
                </c:pt>
                <c:pt idx="9">
                  <c:v>174771</c:v>
                </c:pt>
                <c:pt idx="10">
                  <c:v>157053</c:v>
                </c:pt>
                <c:pt idx="11">
                  <c:v>142795</c:v>
                </c:pt>
                <c:pt idx="12">
                  <c:v>125181</c:v>
                </c:pt>
                <c:pt idx="13">
                  <c:v>117045</c:v>
                </c:pt>
                <c:pt idx="14">
                  <c:v>116456</c:v>
                </c:pt>
                <c:pt idx="15">
                  <c:v>117492</c:v>
                </c:pt>
                <c:pt idx="16">
                  <c:v>116164</c:v>
                </c:pt>
                <c:pt idx="17">
                  <c:v>117154</c:v>
                </c:pt>
                <c:pt idx="18">
                  <c:v>116843</c:v>
                </c:pt>
                <c:pt idx="19">
                  <c:v>125351</c:v>
                </c:pt>
                <c:pt idx="20">
                  <c:v>119815</c:v>
                </c:pt>
                <c:pt idx="21">
                  <c:v>132168</c:v>
                </c:pt>
                <c:pt idx="22">
                  <c:v>139878</c:v>
                </c:pt>
                <c:pt idx="23">
                  <c:v>151710</c:v>
                </c:pt>
                <c:pt idx="24">
                  <c:v>158570</c:v>
                </c:pt>
              </c:numCache>
            </c:numRef>
          </c:xVal>
          <c:yVal>
            <c:numRef>
              <c:f>Recap!$B$5:$Z$5</c:f>
              <c:numCache>
                <c:formatCode>#,##0.##########</c:formatCode>
                <c:ptCount val="25"/>
                <c:pt idx="0" formatCode="#,##0.0">
                  <c:v>91015</c:v>
                </c:pt>
                <c:pt idx="1">
                  <c:v>97421.9</c:v>
                </c:pt>
                <c:pt idx="2">
                  <c:v>104606.3</c:v>
                </c:pt>
                <c:pt idx="3">
                  <c:v>112338.6</c:v>
                </c:pt>
                <c:pt idx="4">
                  <c:v>120490.2</c:v>
                </c:pt>
                <c:pt idx="5">
                  <c:v>128010.5</c:v>
                </c:pt>
                <c:pt idx="6" formatCode="#,##0.0">
                  <c:v>134524</c:v>
                </c:pt>
                <c:pt idx="7">
                  <c:v>145669.70000000001</c:v>
                </c:pt>
                <c:pt idx="8" formatCode="#,##0.0">
                  <c:v>156770</c:v>
                </c:pt>
                <c:pt idx="9">
                  <c:v>155326.20000000001</c:v>
                </c:pt>
                <c:pt idx="10">
                  <c:v>149210.6</c:v>
                </c:pt>
                <c:pt idx="11">
                  <c:v>141387.9</c:v>
                </c:pt>
                <c:pt idx="12">
                  <c:v>129394.7</c:v>
                </c:pt>
                <c:pt idx="13">
                  <c:v>123271.4</c:v>
                </c:pt>
                <c:pt idx="14">
                  <c:v>120505.4</c:v>
                </c:pt>
                <c:pt idx="15">
                  <c:v>119397.1</c:v>
                </c:pt>
                <c:pt idx="16" formatCode="#,##0.0">
                  <c:v>118786</c:v>
                </c:pt>
                <c:pt idx="17">
                  <c:v>122196.2</c:v>
                </c:pt>
                <c:pt idx="18" formatCode="#,##0.0">
                  <c:v>125056</c:v>
                </c:pt>
                <c:pt idx="19" formatCode="#,##0.0">
                  <c:v>128410</c:v>
                </c:pt>
                <c:pt idx="20">
                  <c:v>119055.4</c:v>
                </c:pt>
                <c:pt idx="21">
                  <c:v>126337.4</c:v>
                </c:pt>
                <c:pt idx="22">
                  <c:v>146877.70000000001</c:v>
                </c:pt>
                <c:pt idx="23">
                  <c:v>155442.79999999999</c:v>
                </c:pt>
                <c:pt idx="24">
                  <c:v>162570.79999999999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{"Conso et revenu"}</c15:sqref>
                        </c15:formulaRef>
                      </c:ext>
                    </c:extLst>
                    <c:strCache>
                      <c:ptCount val="1"/>
                      <c:pt idx="0">
                        <c:v>Conso et revenu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EAD-4022-A815-4944DE10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044232"/>
        <c:axId val="1277046280"/>
      </c:scatterChart>
      <c:valAx>
        <c:axId val="1277044232"/>
        <c:scaling>
          <c:orientation val="minMax"/>
          <c:min val="9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46280"/>
        <c:crosses val="autoZero"/>
        <c:crossBetween val="midCat"/>
      </c:valAx>
      <c:valAx>
        <c:axId val="1277046280"/>
        <c:scaling>
          <c:orientation val="minMax"/>
          <c:min val="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04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470932649255947"/>
          <c:y val="0.14762189054726371"/>
          <c:w val="0.83964465980214009"/>
          <c:h val="0.80859701492537317"/>
        </c:manualLayout>
      </c:layout>
      <c:scatterChart>
        <c:scatterStyle val="lineMarker"/>
        <c:varyColors val="0"/>
        <c:ser>
          <c:idx val="0"/>
          <c:order val="0"/>
          <c:tx>
            <c:v>Epargne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4318911493529375E-2"/>
                  <c:y val="-7.06520938614016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Recap!$B$4:$Z$4</c:f>
              <c:numCache>
                <c:formatCode>#,##0</c:formatCode>
                <c:ptCount val="25"/>
                <c:pt idx="0">
                  <c:v>100350</c:v>
                </c:pt>
                <c:pt idx="1">
                  <c:v>105156</c:v>
                </c:pt>
                <c:pt idx="2">
                  <c:v>114615</c:v>
                </c:pt>
                <c:pt idx="3">
                  <c:v>125647</c:v>
                </c:pt>
                <c:pt idx="4">
                  <c:v>134926</c:v>
                </c:pt>
                <c:pt idx="5">
                  <c:v>137317</c:v>
                </c:pt>
                <c:pt idx="6">
                  <c:v>150168</c:v>
                </c:pt>
                <c:pt idx="7">
                  <c:v>159966</c:v>
                </c:pt>
                <c:pt idx="8">
                  <c:v>172592</c:v>
                </c:pt>
                <c:pt idx="9">
                  <c:v>174771</c:v>
                </c:pt>
                <c:pt idx="10">
                  <c:v>157053</c:v>
                </c:pt>
                <c:pt idx="11">
                  <c:v>142795</c:v>
                </c:pt>
                <c:pt idx="12">
                  <c:v>125181</c:v>
                </c:pt>
                <c:pt idx="13">
                  <c:v>117045</c:v>
                </c:pt>
                <c:pt idx="14">
                  <c:v>116456</c:v>
                </c:pt>
                <c:pt idx="15">
                  <c:v>117492</c:v>
                </c:pt>
                <c:pt idx="16">
                  <c:v>116164</c:v>
                </c:pt>
                <c:pt idx="17">
                  <c:v>117154</c:v>
                </c:pt>
                <c:pt idx="18">
                  <c:v>116843</c:v>
                </c:pt>
                <c:pt idx="19">
                  <c:v>125351</c:v>
                </c:pt>
                <c:pt idx="20">
                  <c:v>119815</c:v>
                </c:pt>
                <c:pt idx="21">
                  <c:v>132168</c:v>
                </c:pt>
                <c:pt idx="22">
                  <c:v>139878</c:v>
                </c:pt>
                <c:pt idx="23">
                  <c:v>151710</c:v>
                </c:pt>
                <c:pt idx="24">
                  <c:v>158570</c:v>
                </c:pt>
              </c:numCache>
            </c:numRef>
          </c:xVal>
          <c:yVal>
            <c:numRef>
              <c:f>Recap!$B$17:$Z$17</c:f>
              <c:numCache>
                <c:formatCode>#,##0.0</c:formatCode>
                <c:ptCount val="25"/>
                <c:pt idx="0">
                  <c:v>9335</c:v>
                </c:pt>
                <c:pt idx="1">
                  <c:v>7734.1000000000058</c:v>
                </c:pt>
                <c:pt idx="2">
                  <c:v>10008.699999999997</c:v>
                </c:pt>
                <c:pt idx="3">
                  <c:v>13308.399999999994</c:v>
                </c:pt>
                <c:pt idx="4">
                  <c:v>14435.800000000003</c:v>
                </c:pt>
                <c:pt idx="5">
                  <c:v>9306.5</c:v>
                </c:pt>
                <c:pt idx="6">
                  <c:v>15644</c:v>
                </c:pt>
                <c:pt idx="7">
                  <c:v>14296.299999999988</c:v>
                </c:pt>
                <c:pt idx="8">
                  <c:v>15822</c:v>
                </c:pt>
                <c:pt idx="9">
                  <c:v>19444.799999999988</c:v>
                </c:pt>
                <c:pt idx="10">
                  <c:v>7842.3999999999942</c:v>
                </c:pt>
                <c:pt idx="11">
                  <c:v>1407.1000000000058</c:v>
                </c:pt>
                <c:pt idx="12">
                  <c:v>-4213.6999999999971</c:v>
                </c:pt>
                <c:pt idx="13">
                  <c:v>-6226.3999999999942</c:v>
                </c:pt>
                <c:pt idx="14">
                  <c:v>-4049.3999999999942</c:v>
                </c:pt>
                <c:pt idx="15">
                  <c:v>-1905.1000000000058</c:v>
                </c:pt>
                <c:pt idx="16">
                  <c:v>-2622</c:v>
                </c:pt>
                <c:pt idx="17">
                  <c:v>-5042.1999999999971</c:v>
                </c:pt>
                <c:pt idx="18">
                  <c:v>-8213</c:v>
                </c:pt>
                <c:pt idx="19">
                  <c:v>-3059</c:v>
                </c:pt>
                <c:pt idx="20">
                  <c:v>759.60000000000582</c:v>
                </c:pt>
                <c:pt idx="21">
                  <c:v>5830.6000000000058</c:v>
                </c:pt>
                <c:pt idx="22">
                  <c:v>-6999.7000000000116</c:v>
                </c:pt>
                <c:pt idx="23">
                  <c:v>-3732.7999999999884</c:v>
                </c:pt>
                <c:pt idx="24">
                  <c:v>-4000.7999999999884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0-47FD-9648-58FBC14FE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799024"/>
        <c:axId val="1972798544"/>
      </c:scatterChart>
      <c:valAx>
        <c:axId val="1972799024"/>
        <c:scaling>
          <c:orientation val="minMax"/>
          <c:max val="180000"/>
          <c:min val="9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2798544"/>
        <c:crosses val="autoZero"/>
        <c:crossBetween val="midCat"/>
      </c:valAx>
      <c:valAx>
        <c:axId val="197279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7279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530225</xdr:colOff>
      <xdr:row>18</xdr:row>
      <xdr:rowOff>31751</xdr:rowOff>
    </xdr:from>
    <xdr:to>
      <xdr:col>8</xdr:col>
      <xdr:colOff>552450</xdr:colOff>
      <xdr:row>36</xdr:row>
      <xdr:rowOff>1</xdr:rowOff>
    </xdr:to>
    <xdr:graphicFrame macro="">
      <xdr:nvGraphicFramePr>
        <xdr:cNvPr id="6" name="Graphique 1">
          <a:extLst>
            <a:ext uri="{FF2B5EF4-FFF2-40B4-BE49-F238E27FC236}">
              <a16:creationId xmlns:a16="http://schemas.microsoft.com/office/drawing/2014/main" id="{247F63EA-4499-73F7-7646-11A09F685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428624</xdr:colOff>
      <xdr:row>18</xdr:row>
      <xdr:rowOff>0</xdr:rowOff>
    </xdr:from>
    <xdr:to>
      <xdr:col>19</xdr:col>
      <xdr:colOff>485775</xdr:colOff>
      <xdr:row>36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EA89CAD-BB27-17A7-3DDC-E887D0AFE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6FD9-2104-49C4-8262-2FF0C6B698B0}">
  <dimension ref="A1:Z17"/>
  <sheetViews>
    <sheetView topLeftCell="B4" workbookViewId="0">
      <selection activeCell="S15" sqref="S15"/>
    </sheetView>
  </sheetViews>
  <sheetFormatPr baseColWidth="10" defaultColWidth="8.7265625" defaultRowHeight="14.5" x14ac:dyDescent="0.35"/>
  <cols>
    <col min="1" max="1" width="47.54296875" style="42" bestFit="1" customWidth="1"/>
    <col min="2" max="2" width="9" bestFit="1" customWidth="1"/>
  </cols>
  <sheetData>
    <row r="1" spans="1:26" x14ac:dyDescent="0.35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</row>
    <row r="2" spans="1:26" s="47" customFormat="1" x14ac:dyDescent="0.35">
      <c r="A2" s="46"/>
    </row>
    <row r="3" spans="1:26" x14ac:dyDescent="0.35">
      <c r="A3" s="42" t="s">
        <v>30</v>
      </c>
      <c r="B3">
        <v>0.25</v>
      </c>
    </row>
    <row r="4" spans="1:26" x14ac:dyDescent="0.35">
      <c r="A4" s="42" t="s">
        <v>25</v>
      </c>
      <c r="B4" s="41">
        <v>100350</v>
      </c>
      <c r="C4" s="41">
        <v>105156</v>
      </c>
      <c r="D4" s="41">
        <v>114615</v>
      </c>
      <c r="E4" s="41">
        <v>125647</v>
      </c>
      <c r="F4" s="41">
        <v>134926</v>
      </c>
      <c r="G4" s="41">
        <v>137317</v>
      </c>
      <c r="H4" s="41">
        <v>150168</v>
      </c>
      <c r="I4" s="41">
        <v>159966</v>
      </c>
      <c r="J4" s="41">
        <v>172592</v>
      </c>
      <c r="K4" s="41">
        <v>174771</v>
      </c>
      <c r="L4" s="41">
        <v>157053</v>
      </c>
      <c r="M4" s="41">
        <v>142795</v>
      </c>
      <c r="N4" s="41">
        <v>125181</v>
      </c>
      <c r="O4" s="41">
        <v>117045</v>
      </c>
      <c r="P4" s="41">
        <v>116456</v>
      </c>
      <c r="Q4" s="41">
        <v>117492</v>
      </c>
      <c r="R4" s="41">
        <v>116164</v>
      </c>
      <c r="S4" s="41">
        <v>117154</v>
      </c>
      <c r="T4" s="41">
        <v>116843</v>
      </c>
      <c r="U4" s="41">
        <v>125351</v>
      </c>
      <c r="V4" s="41">
        <v>119815</v>
      </c>
      <c r="W4" s="41">
        <v>132168</v>
      </c>
      <c r="X4" s="41">
        <v>139878</v>
      </c>
      <c r="Y4" s="41">
        <v>151710</v>
      </c>
      <c r="Z4" s="41">
        <v>158570</v>
      </c>
    </row>
    <row r="5" spans="1:26" x14ac:dyDescent="0.35">
      <c r="A5" s="42" t="s">
        <v>26</v>
      </c>
      <c r="B5" s="43">
        <v>91015</v>
      </c>
      <c r="C5" s="44">
        <v>97421.9</v>
      </c>
      <c r="D5" s="44">
        <v>104606.3</v>
      </c>
      <c r="E5" s="44">
        <v>112338.6</v>
      </c>
      <c r="F5" s="44">
        <v>120490.2</v>
      </c>
      <c r="G5" s="44">
        <v>128010.5</v>
      </c>
      <c r="H5" s="43">
        <v>134524</v>
      </c>
      <c r="I5" s="44">
        <v>145669.70000000001</v>
      </c>
      <c r="J5" s="43">
        <v>156770</v>
      </c>
      <c r="K5" s="44">
        <v>155326.20000000001</v>
      </c>
      <c r="L5" s="44">
        <v>149210.6</v>
      </c>
      <c r="M5" s="44">
        <v>141387.9</v>
      </c>
      <c r="N5" s="44">
        <v>129394.7</v>
      </c>
      <c r="O5" s="44">
        <v>123271.4</v>
      </c>
      <c r="P5" s="44">
        <v>120505.4</v>
      </c>
      <c r="Q5" s="44">
        <v>119397.1</v>
      </c>
      <c r="R5" s="43">
        <v>118786</v>
      </c>
      <c r="S5" s="44">
        <v>122196.2</v>
      </c>
      <c r="T5" s="43">
        <v>125056</v>
      </c>
      <c r="U5" s="43">
        <v>128410</v>
      </c>
      <c r="V5" s="44">
        <v>119055.4</v>
      </c>
      <c r="W5" s="44">
        <v>126337.4</v>
      </c>
      <c r="X5" s="44">
        <v>146877.70000000001</v>
      </c>
      <c r="Y5" s="44">
        <v>155442.79999999999</v>
      </c>
      <c r="Z5" s="44">
        <v>162570.79999999999</v>
      </c>
    </row>
    <row r="6" spans="1:26" x14ac:dyDescent="0.35">
      <c r="A6" s="42" t="s">
        <v>31</v>
      </c>
      <c r="B6">
        <f>Investissement!B18</f>
        <v>35748.800000000003</v>
      </c>
      <c r="C6">
        <f>Investissement!C18</f>
        <v>37741.699999999997</v>
      </c>
      <c r="D6">
        <f>Investissement!D18</f>
        <v>37939.300000000003</v>
      </c>
      <c r="E6">
        <f>Investissement!E18</f>
        <v>43311.6</v>
      </c>
      <c r="F6">
        <f>Investissement!F18</f>
        <v>47311.199999999997</v>
      </c>
      <c r="G6">
        <f>Investissement!G18</f>
        <v>41597.5</v>
      </c>
      <c r="H6">
        <f>Investissement!H18</f>
        <v>51553</v>
      </c>
      <c r="I6">
        <f>Investissement!I18</f>
        <v>58537.9</v>
      </c>
      <c r="J6">
        <f>Investissement!J18</f>
        <v>55579.3</v>
      </c>
      <c r="K6">
        <f>Investissement!K18</f>
        <v>47891.9</v>
      </c>
      <c r="L6">
        <f>Investissement!L18</f>
        <v>37608</v>
      </c>
      <c r="M6">
        <f>Investissement!M18</f>
        <v>28213</v>
      </c>
      <c r="N6">
        <f>Investissement!N18</f>
        <v>22827.5</v>
      </c>
      <c r="O6">
        <f>Investissement!O18</f>
        <v>20547.599999999999</v>
      </c>
      <c r="P6">
        <f>Investissement!P18</f>
        <v>19779.5</v>
      </c>
      <c r="Q6">
        <f>Investissement!Q18</f>
        <v>19572.400000000001</v>
      </c>
      <c r="R6">
        <f>Investissement!R18</f>
        <v>19832.099999999999</v>
      </c>
      <c r="S6">
        <f>Investissement!S18</f>
        <v>21372.799999999999</v>
      </c>
      <c r="T6">
        <f>Investissement!T18</f>
        <v>20465.7</v>
      </c>
      <c r="U6">
        <f>Investissement!U18</f>
        <v>20315.2</v>
      </c>
      <c r="V6">
        <f>Investissement!V18</f>
        <v>20607.099999999999</v>
      </c>
      <c r="W6">
        <f>Investissement!W18</f>
        <v>25455.7</v>
      </c>
      <c r="X6">
        <f>Investissement!X18</f>
        <v>32544.5</v>
      </c>
      <c r="Y6">
        <f>Investissement!Y18</f>
        <v>35689.699999999997</v>
      </c>
      <c r="Z6">
        <f>Investissement!Z18</f>
        <v>37971.300000000003</v>
      </c>
    </row>
    <row r="7" spans="1:26" x14ac:dyDescent="0.35">
      <c r="A7" s="42" t="s">
        <v>32</v>
      </c>
      <c r="B7">
        <f>'Dépenses publiques'!B17</f>
        <v>26106.7</v>
      </c>
      <c r="C7">
        <f>'Dépenses publiques'!C17</f>
        <v>28483</v>
      </c>
      <c r="D7">
        <f>'Dépenses publiques'!D17</f>
        <v>31430</v>
      </c>
      <c r="E7">
        <f>'Dépenses publiques'!E17</f>
        <v>33918</v>
      </c>
      <c r="F7">
        <f>'Dépenses publiques'!F17</f>
        <v>37108</v>
      </c>
      <c r="G7">
        <f>'Dépenses publiques'!G17</f>
        <v>39889</v>
      </c>
      <c r="H7">
        <f>'Dépenses publiques'!H17</f>
        <v>43911</v>
      </c>
      <c r="I7">
        <f>'Dépenses publiques'!I17</f>
        <v>47750</v>
      </c>
      <c r="J7">
        <f>'Dépenses publiques'!J17</f>
        <v>50189</v>
      </c>
      <c r="K7">
        <f>'Dépenses publiques'!K17</f>
        <v>55563</v>
      </c>
      <c r="L7">
        <f>'Dépenses publiques'!L17</f>
        <v>50341.9</v>
      </c>
      <c r="M7">
        <f>'Dépenses publiques'!M17</f>
        <v>45008.1</v>
      </c>
      <c r="N7">
        <f>'Dépenses publiques'!N17</f>
        <v>42008.1</v>
      </c>
      <c r="O7">
        <f>'Dépenses publiques'!O17</f>
        <v>37364.9</v>
      </c>
      <c r="P7">
        <f>'Dépenses publiques'!P17</f>
        <v>36668</v>
      </c>
      <c r="Q7">
        <f>'Dépenses publiques'!Q17</f>
        <v>36484.1</v>
      </c>
      <c r="R7">
        <f>'Dépenses publiques'!R17</f>
        <v>36177.699999999997</v>
      </c>
      <c r="S7">
        <f>'Dépenses publiques'!S17</f>
        <v>36443.4</v>
      </c>
      <c r="T7">
        <f>'Dépenses publiques'!T17</f>
        <v>35733.800000000003</v>
      </c>
      <c r="U7">
        <f>'Dépenses publiques'!U17</f>
        <v>37086.199999999997</v>
      </c>
      <c r="V7">
        <f>'Dépenses publiques'!V17</f>
        <v>38183.699999999997</v>
      </c>
      <c r="W7">
        <f>'Dépenses publiques'!W17</f>
        <v>39796.1</v>
      </c>
      <c r="X7">
        <f>'Dépenses publiques'!X17</f>
        <v>41188</v>
      </c>
      <c r="Y7">
        <f>'Dépenses publiques'!Y17</f>
        <v>43685.7</v>
      </c>
      <c r="Z7">
        <f>'Dépenses publiques'!Z17</f>
        <v>44006.5</v>
      </c>
    </row>
    <row r="8" spans="1:26" s="47" customFormat="1" x14ac:dyDescent="0.35">
      <c r="A8" s="46"/>
    </row>
    <row r="9" spans="1:26" x14ac:dyDescent="0.35">
      <c r="A9" s="42" t="s">
        <v>35</v>
      </c>
      <c r="B9">
        <f>B4*100/75</f>
        <v>133800</v>
      </c>
      <c r="C9">
        <f t="shared" ref="C9:Z9" si="0">C4*100/75</f>
        <v>140208</v>
      </c>
      <c r="D9">
        <f t="shared" si="0"/>
        <v>152820</v>
      </c>
      <c r="E9">
        <f t="shared" si="0"/>
        <v>167529.33333333334</v>
      </c>
      <c r="F9">
        <f t="shared" si="0"/>
        <v>179901.33333333334</v>
      </c>
      <c r="G9">
        <f t="shared" si="0"/>
        <v>183089.33333333334</v>
      </c>
      <c r="H9">
        <f t="shared" si="0"/>
        <v>200224</v>
      </c>
      <c r="I9">
        <f t="shared" si="0"/>
        <v>213288</v>
      </c>
      <c r="J9">
        <f t="shared" si="0"/>
        <v>230122.66666666666</v>
      </c>
      <c r="K9">
        <f t="shared" si="0"/>
        <v>233028</v>
      </c>
      <c r="L9">
        <f t="shared" si="0"/>
        <v>209404</v>
      </c>
      <c r="M9">
        <f t="shared" si="0"/>
        <v>190393.33333333334</v>
      </c>
      <c r="N9">
        <f t="shared" si="0"/>
        <v>166908</v>
      </c>
      <c r="O9">
        <f t="shared" si="0"/>
        <v>156060</v>
      </c>
      <c r="P9">
        <f t="shared" si="0"/>
        <v>155274.66666666666</v>
      </c>
      <c r="Q9">
        <f t="shared" si="0"/>
        <v>156656</v>
      </c>
      <c r="R9">
        <f t="shared" si="0"/>
        <v>154885.33333333334</v>
      </c>
      <c r="S9">
        <f t="shared" si="0"/>
        <v>156205.33333333334</v>
      </c>
      <c r="T9">
        <f t="shared" si="0"/>
        <v>155790.66666666666</v>
      </c>
      <c r="U9">
        <f t="shared" si="0"/>
        <v>167134.66666666666</v>
      </c>
      <c r="V9">
        <f t="shared" si="0"/>
        <v>159753.33333333334</v>
      </c>
      <c r="W9">
        <f t="shared" si="0"/>
        <v>176224</v>
      </c>
      <c r="X9">
        <f t="shared" si="0"/>
        <v>186504</v>
      </c>
      <c r="Y9">
        <f t="shared" si="0"/>
        <v>202280</v>
      </c>
      <c r="Z9">
        <f t="shared" si="0"/>
        <v>211426.66666666666</v>
      </c>
    </row>
    <row r="10" spans="1:26" x14ac:dyDescent="0.35">
      <c r="A10" s="42" t="s">
        <v>34</v>
      </c>
      <c r="B10" s="45">
        <f>B5+B6+B7</f>
        <v>152870.5</v>
      </c>
      <c r="C10" s="45">
        <f t="shared" ref="C10:Z10" si="1">C5+C6+C7</f>
        <v>163646.59999999998</v>
      </c>
      <c r="D10" s="45">
        <f t="shared" si="1"/>
        <v>173975.6</v>
      </c>
      <c r="E10" s="45">
        <f t="shared" si="1"/>
        <v>189568.2</v>
      </c>
      <c r="F10" s="45">
        <f t="shared" si="1"/>
        <v>204909.4</v>
      </c>
      <c r="G10" s="45">
        <f t="shared" si="1"/>
        <v>209497</v>
      </c>
      <c r="H10" s="45">
        <f t="shared" si="1"/>
        <v>229988</v>
      </c>
      <c r="I10" s="45">
        <f t="shared" si="1"/>
        <v>251957.6</v>
      </c>
      <c r="J10" s="45">
        <f t="shared" si="1"/>
        <v>262538.3</v>
      </c>
      <c r="K10" s="45">
        <f t="shared" si="1"/>
        <v>258781.1</v>
      </c>
      <c r="L10" s="45">
        <f t="shared" si="1"/>
        <v>237160.5</v>
      </c>
      <c r="M10" s="45">
        <f t="shared" si="1"/>
        <v>214609</v>
      </c>
      <c r="N10" s="45">
        <f t="shared" si="1"/>
        <v>194230.30000000002</v>
      </c>
      <c r="O10" s="45">
        <f t="shared" si="1"/>
        <v>181183.9</v>
      </c>
      <c r="P10" s="45">
        <f t="shared" si="1"/>
        <v>176952.9</v>
      </c>
      <c r="Q10" s="45">
        <f t="shared" si="1"/>
        <v>175453.6</v>
      </c>
      <c r="R10" s="45">
        <f t="shared" si="1"/>
        <v>174795.8</v>
      </c>
      <c r="S10" s="45">
        <f t="shared" si="1"/>
        <v>180012.4</v>
      </c>
      <c r="T10" s="45">
        <f t="shared" si="1"/>
        <v>181255.5</v>
      </c>
      <c r="U10" s="45">
        <f t="shared" si="1"/>
        <v>185811.40000000002</v>
      </c>
      <c r="V10" s="45">
        <f t="shared" si="1"/>
        <v>177846.2</v>
      </c>
      <c r="W10" s="45">
        <f t="shared" si="1"/>
        <v>191589.2</v>
      </c>
      <c r="X10" s="45">
        <f t="shared" si="1"/>
        <v>220610.2</v>
      </c>
      <c r="Y10" s="45">
        <f t="shared" si="1"/>
        <v>234818.2</v>
      </c>
      <c r="Z10" s="45">
        <f t="shared" si="1"/>
        <v>244548.59999999998</v>
      </c>
    </row>
    <row r="11" spans="1:26" x14ac:dyDescent="0.35">
      <c r="A11" s="42" t="s">
        <v>33</v>
      </c>
      <c r="B11">
        <f>B10*(1-B3)</f>
        <v>114652.875</v>
      </c>
      <c r="C11">
        <f t="shared" ref="C11:Z11" si="2">C10*(1-C3)</f>
        <v>163646.59999999998</v>
      </c>
      <c r="D11">
        <f t="shared" si="2"/>
        <v>173975.6</v>
      </c>
      <c r="E11">
        <f t="shared" si="2"/>
        <v>189568.2</v>
      </c>
      <c r="F11">
        <f t="shared" si="2"/>
        <v>204909.4</v>
      </c>
      <c r="G11">
        <f t="shared" si="2"/>
        <v>209497</v>
      </c>
      <c r="H11">
        <f t="shared" si="2"/>
        <v>229988</v>
      </c>
      <c r="I11">
        <f t="shared" si="2"/>
        <v>251957.6</v>
      </c>
      <c r="J11">
        <f t="shared" si="2"/>
        <v>262538.3</v>
      </c>
      <c r="K11">
        <f t="shared" si="2"/>
        <v>258781.1</v>
      </c>
      <c r="L11">
        <f t="shared" si="2"/>
        <v>237160.5</v>
      </c>
      <c r="M11">
        <f t="shared" si="2"/>
        <v>214609</v>
      </c>
      <c r="N11">
        <f t="shared" si="2"/>
        <v>194230.30000000002</v>
      </c>
      <c r="O11">
        <f t="shared" si="2"/>
        <v>181183.9</v>
      </c>
      <c r="P11">
        <f t="shared" si="2"/>
        <v>176952.9</v>
      </c>
      <c r="Q11">
        <f t="shared" si="2"/>
        <v>175453.6</v>
      </c>
      <c r="R11">
        <f t="shared" si="2"/>
        <v>174795.8</v>
      </c>
      <c r="S11">
        <f t="shared" si="2"/>
        <v>180012.4</v>
      </c>
      <c r="T11">
        <f t="shared" si="2"/>
        <v>181255.5</v>
      </c>
      <c r="U11">
        <f t="shared" si="2"/>
        <v>185811.40000000002</v>
      </c>
      <c r="V11">
        <f t="shared" si="2"/>
        <v>177846.2</v>
      </c>
      <c r="W11">
        <f t="shared" si="2"/>
        <v>191589.2</v>
      </c>
      <c r="X11">
        <f t="shared" si="2"/>
        <v>220610.2</v>
      </c>
      <c r="Y11">
        <f t="shared" si="2"/>
        <v>234818.2</v>
      </c>
      <c r="Z11">
        <f t="shared" si="2"/>
        <v>244548.59999999998</v>
      </c>
    </row>
    <row r="12" spans="1:26" s="47" customFormat="1" x14ac:dyDescent="0.35">
      <c r="A12" s="46"/>
    </row>
    <row r="13" spans="1:26" x14ac:dyDescent="0.35">
      <c r="A13" s="42" t="s">
        <v>36</v>
      </c>
      <c r="B13">
        <v>0.82</v>
      </c>
      <c r="C13">
        <v>0.82</v>
      </c>
      <c r="D13">
        <v>0.82</v>
      </c>
      <c r="E13">
        <v>0.82</v>
      </c>
      <c r="F13">
        <v>0.82</v>
      </c>
      <c r="G13">
        <v>0.82</v>
      </c>
      <c r="H13">
        <v>0.82</v>
      </c>
      <c r="I13">
        <v>0.82</v>
      </c>
      <c r="J13">
        <v>0.82</v>
      </c>
      <c r="K13">
        <v>0.82</v>
      </c>
      <c r="L13">
        <v>0.82</v>
      </c>
      <c r="M13">
        <v>0.82</v>
      </c>
      <c r="N13">
        <v>0.82</v>
      </c>
      <c r="O13">
        <v>0.82</v>
      </c>
      <c r="P13">
        <v>0.82</v>
      </c>
      <c r="Q13">
        <v>0.82</v>
      </c>
      <c r="R13">
        <v>0.82</v>
      </c>
      <c r="S13">
        <v>0.82</v>
      </c>
      <c r="T13">
        <v>0.82</v>
      </c>
      <c r="U13">
        <v>0.82</v>
      </c>
      <c r="V13">
        <v>0.82</v>
      </c>
      <c r="W13">
        <v>0.82</v>
      </c>
      <c r="X13">
        <v>0.82</v>
      </c>
      <c r="Y13">
        <v>0.82</v>
      </c>
      <c r="Z13">
        <v>0.82</v>
      </c>
    </row>
    <row r="14" spans="1:26" x14ac:dyDescent="0.35">
      <c r="A14" s="42" t="s">
        <v>37</v>
      </c>
      <c r="B14">
        <v>20006</v>
      </c>
      <c r="C14">
        <v>20006</v>
      </c>
      <c r="D14">
        <v>20006</v>
      </c>
      <c r="E14">
        <v>20006</v>
      </c>
      <c r="F14">
        <v>20006</v>
      </c>
      <c r="G14">
        <v>20006</v>
      </c>
      <c r="H14">
        <v>20006</v>
      </c>
      <c r="I14">
        <v>20006</v>
      </c>
      <c r="J14">
        <v>20006</v>
      </c>
      <c r="K14">
        <v>20006</v>
      </c>
      <c r="L14">
        <v>20006</v>
      </c>
      <c r="M14">
        <v>20006</v>
      </c>
      <c r="N14">
        <v>20006</v>
      </c>
      <c r="O14">
        <v>20006</v>
      </c>
      <c r="P14">
        <v>20006</v>
      </c>
      <c r="Q14">
        <v>20006</v>
      </c>
      <c r="R14">
        <v>20006</v>
      </c>
      <c r="S14">
        <v>20006</v>
      </c>
      <c r="T14">
        <v>20006</v>
      </c>
      <c r="U14">
        <v>20006</v>
      </c>
      <c r="V14">
        <v>20006</v>
      </c>
      <c r="W14">
        <v>20006</v>
      </c>
      <c r="X14">
        <v>20006</v>
      </c>
      <c r="Y14">
        <v>20006</v>
      </c>
      <c r="Z14">
        <v>20006</v>
      </c>
    </row>
    <row r="15" spans="1:26" x14ac:dyDescent="0.35">
      <c r="A15" s="42" t="s">
        <v>38</v>
      </c>
      <c r="B15">
        <f>B14+B13*B4</f>
        <v>102293</v>
      </c>
      <c r="C15">
        <f t="shared" ref="C15:Z15" si="3">C14+C13*C4</f>
        <v>106233.92</v>
      </c>
      <c r="D15">
        <f t="shared" si="3"/>
        <v>113990.29999999999</v>
      </c>
      <c r="E15">
        <f t="shared" si="3"/>
        <v>123036.54</v>
      </c>
      <c r="F15">
        <f t="shared" si="3"/>
        <v>130645.31999999999</v>
      </c>
      <c r="G15">
        <f t="shared" si="3"/>
        <v>132605.94</v>
      </c>
      <c r="H15">
        <f t="shared" si="3"/>
        <v>143143.76</v>
      </c>
      <c r="I15">
        <f t="shared" si="3"/>
        <v>151178.12</v>
      </c>
      <c r="J15">
        <f t="shared" si="3"/>
        <v>161531.44</v>
      </c>
      <c r="K15">
        <f t="shared" si="3"/>
        <v>163318.22</v>
      </c>
      <c r="L15">
        <f t="shared" si="3"/>
        <v>148789.46</v>
      </c>
      <c r="M15">
        <f t="shared" si="3"/>
        <v>137097.9</v>
      </c>
      <c r="N15">
        <f t="shared" si="3"/>
        <v>122654.42</v>
      </c>
      <c r="O15">
        <f t="shared" si="3"/>
        <v>115982.9</v>
      </c>
      <c r="P15">
        <f t="shared" si="3"/>
        <v>115499.92</v>
      </c>
      <c r="Q15">
        <f t="shared" si="3"/>
        <v>116349.43999999999</v>
      </c>
      <c r="R15">
        <f t="shared" si="3"/>
        <v>115260.48</v>
      </c>
      <c r="S15">
        <f t="shared" si="3"/>
        <v>116072.28</v>
      </c>
      <c r="T15">
        <f t="shared" si="3"/>
        <v>115817.26</v>
      </c>
      <c r="U15">
        <f t="shared" si="3"/>
        <v>122793.81999999999</v>
      </c>
      <c r="V15">
        <f t="shared" si="3"/>
        <v>118254.29999999999</v>
      </c>
      <c r="W15">
        <f t="shared" si="3"/>
        <v>128383.76</v>
      </c>
      <c r="X15">
        <f>X14+X13*X4</f>
        <v>134705.96</v>
      </c>
      <c r="Y15">
        <f t="shared" si="3"/>
        <v>144408.20000000001</v>
      </c>
      <c r="Z15">
        <f t="shared" si="3"/>
        <v>150033.4</v>
      </c>
    </row>
    <row r="17" spans="1:26" x14ac:dyDescent="0.35">
      <c r="A17" s="42" t="s">
        <v>39</v>
      </c>
      <c r="B17" s="45">
        <f>B4-B5</f>
        <v>9335</v>
      </c>
      <c r="C17" s="45">
        <f t="shared" ref="C17:Z17" si="4">C4-C5</f>
        <v>7734.1000000000058</v>
      </c>
      <c r="D17" s="45">
        <f t="shared" si="4"/>
        <v>10008.699999999997</v>
      </c>
      <c r="E17" s="45">
        <f t="shared" si="4"/>
        <v>13308.399999999994</v>
      </c>
      <c r="F17" s="45">
        <f t="shared" si="4"/>
        <v>14435.800000000003</v>
      </c>
      <c r="G17" s="45">
        <f t="shared" si="4"/>
        <v>9306.5</v>
      </c>
      <c r="H17" s="45">
        <f t="shared" si="4"/>
        <v>15644</v>
      </c>
      <c r="I17" s="45">
        <f t="shared" si="4"/>
        <v>14296.299999999988</v>
      </c>
      <c r="J17" s="45">
        <f t="shared" si="4"/>
        <v>15822</v>
      </c>
      <c r="K17" s="45">
        <f t="shared" si="4"/>
        <v>19444.799999999988</v>
      </c>
      <c r="L17" s="45">
        <f t="shared" si="4"/>
        <v>7842.3999999999942</v>
      </c>
      <c r="M17" s="45">
        <f t="shared" si="4"/>
        <v>1407.1000000000058</v>
      </c>
      <c r="N17" s="45">
        <f t="shared" si="4"/>
        <v>-4213.6999999999971</v>
      </c>
      <c r="O17" s="45">
        <f t="shared" si="4"/>
        <v>-6226.3999999999942</v>
      </c>
      <c r="P17" s="45">
        <f t="shared" si="4"/>
        <v>-4049.3999999999942</v>
      </c>
      <c r="Q17" s="45">
        <f t="shared" si="4"/>
        <v>-1905.1000000000058</v>
      </c>
      <c r="R17" s="45">
        <f t="shared" si="4"/>
        <v>-2622</v>
      </c>
      <c r="S17" s="45">
        <f t="shared" si="4"/>
        <v>-5042.1999999999971</v>
      </c>
      <c r="T17" s="45">
        <f>T4-T5</f>
        <v>-8213</v>
      </c>
      <c r="U17" s="45">
        <f t="shared" si="4"/>
        <v>-3059</v>
      </c>
      <c r="V17" s="45">
        <f t="shared" si="4"/>
        <v>759.60000000000582</v>
      </c>
      <c r="W17" s="45">
        <f t="shared" si="4"/>
        <v>5830.6000000000058</v>
      </c>
      <c r="X17" s="45">
        <f t="shared" si="4"/>
        <v>-6999.7000000000116</v>
      </c>
      <c r="Y17" s="45">
        <f t="shared" si="4"/>
        <v>-3732.7999999999884</v>
      </c>
      <c r="Z17" s="45">
        <f t="shared" si="4"/>
        <v>-4000.7999999999884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workbookViewId="0">
      <pane xSplit="1" ySplit="10" topLeftCell="B11" activePane="bottomRight" state="frozen"/>
      <selection pane="topRight"/>
      <selection pane="bottomLeft"/>
      <selection pane="bottomRight" activeCell="F19" sqref="F19"/>
    </sheetView>
  </sheetViews>
  <sheetFormatPr baseColWidth="10" defaultColWidth="8.54296875" defaultRowHeight="11.5" customHeight="1" x14ac:dyDescent="0.35"/>
  <cols>
    <col min="1" max="1" width="37.453125" customWidth="1"/>
    <col min="2" max="18" width="10" customWidth="1"/>
    <col min="19" max="19" width="7.54296875" bestFit="1" customWidth="1"/>
    <col min="20" max="20" width="10" customWidth="1"/>
    <col min="21" max="21" width="12.453125" customWidth="1"/>
    <col min="22" max="22" width="11.81640625" customWidth="1"/>
    <col min="23" max="23" width="10.81640625" customWidth="1"/>
    <col min="24" max="24" width="11.453125" customWidth="1"/>
    <col min="25" max="25" width="10.453125" customWidth="1"/>
  </cols>
  <sheetData>
    <row r="1" spans="1:26" ht="11.5" customHeight="1" x14ac:dyDescent="0.35">
      <c r="A1" s="2"/>
      <c r="B1" s="1"/>
    </row>
    <row r="2" spans="1:26" ht="11.5" customHeight="1" x14ac:dyDescent="0.35">
      <c r="A2" s="2"/>
      <c r="B2" s="2"/>
    </row>
    <row r="4" spans="1:26" ht="11.5" customHeight="1" x14ac:dyDescent="0.35">
      <c r="A4" s="1"/>
      <c r="B4" s="2"/>
    </row>
    <row r="5" spans="1:26" ht="11.5" customHeight="1" x14ac:dyDescent="0.35">
      <c r="A5" s="1"/>
      <c r="B5" s="2"/>
    </row>
    <row r="6" spans="1:26" ht="11.5" customHeight="1" x14ac:dyDescent="0.35">
      <c r="A6" s="1"/>
      <c r="B6" s="1"/>
    </row>
    <row r="7" spans="1:26" ht="11.5" customHeight="1" x14ac:dyDescent="0.35">
      <c r="A7" s="1"/>
      <c r="B7" s="2"/>
    </row>
    <row r="9" spans="1:26" ht="11.5" customHeight="1" x14ac:dyDescent="0.35">
      <c r="A9" s="3"/>
      <c r="B9" s="14" t="s">
        <v>0</v>
      </c>
      <c r="C9" s="14" t="s">
        <v>1</v>
      </c>
      <c r="D9" s="14" t="s">
        <v>2</v>
      </c>
      <c r="E9" s="14" t="s">
        <v>3</v>
      </c>
      <c r="F9" s="14" t="s">
        <v>4</v>
      </c>
      <c r="G9" s="14" t="s">
        <v>5</v>
      </c>
      <c r="H9" s="14" t="s">
        <v>6</v>
      </c>
      <c r="I9" s="14" t="s">
        <v>7</v>
      </c>
      <c r="J9" s="14" t="s">
        <v>8</v>
      </c>
      <c r="K9" s="14" t="s">
        <v>9</v>
      </c>
      <c r="L9" s="14" t="s">
        <v>10</v>
      </c>
      <c r="M9" s="14" t="s">
        <v>11</v>
      </c>
      <c r="N9" s="14" t="s">
        <v>12</v>
      </c>
      <c r="O9" s="14" t="s">
        <v>13</v>
      </c>
      <c r="P9" s="14" t="s">
        <v>14</v>
      </c>
      <c r="Q9" s="14" t="s">
        <v>15</v>
      </c>
      <c r="R9" s="14" t="s">
        <v>16</v>
      </c>
      <c r="S9" s="14" t="s">
        <v>17</v>
      </c>
      <c r="T9" s="14" t="s">
        <v>18</v>
      </c>
      <c r="U9" s="14" t="s">
        <v>19</v>
      </c>
      <c r="V9" s="14" t="s">
        <v>20</v>
      </c>
      <c r="W9" s="14" t="s">
        <v>21</v>
      </c>
      <c r="X9" s="14" t="s">
        <v>22</v>
      </c>
      <c r="Y9" s="14" t="s">
        <v>23</v>
      </c>
      <c r="Z9" s="14" t="s">
        <v>24</v>
      </c>
    </row>
    <row r="10" spans="1:26" ht="11.5" customHeight="1" x14ac:dyDescent="0.35">
      <c r="A10" s="4"/>
      <c r="B10" s="6" t="s">
        <v>27</v>
      </c>
      <c r="C10" s="6" t="s">
        <v>27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s="6" t="s">
        <v>27</v>
      </c>
      <c r="Z10" s="6" t="s">
        <v>27</v>
      </c>
    </row>
    <row r="11" spans="1:26" ht="11.5" customHeight="1" x14ac:dyDescent="0.3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1.5" customHeight="1" x14ac:dyDescent="0.35">
      <c r="A12" s="5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1.5" customHeight="1" x14ac:dyDescent="0.3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1.5" customHeight="1" x14ac:dyDescent="0.35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1.5" customHeight="1" x14ac:dyDescent="0.35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1.5" customHeight="1" x14ac:dyDescent="0.35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1.5" customHeight="1" x14ac:dyDescent="0.35">
      <c r="A17" s="5" t="s">
        <v>28</v>
      </c>
      <c r="B17" s="7">
        <v>100350</v>
      </c>
      <c r="C17" s="7">
        <v>105156</v>
      </c>
      <c r="D17" s="7">
        <v>114615</v>
      </c>
      <c r="E17" s="7">
        <v>125647</v>
      </c>
      <c r="F17" s="7">
        <v>134926</v>
      </c>
      <c r="G17" s="7">
        <v>137317</v>
      </c>
      <c r="H17" s="7">
        <v>150168</v>
      </c>
      <c r="I17" s="7">
        <v>159966</v>
      </c>
      <c r="J17" s="7">
        <v>172592</v>
      </c>
      <c r="K17" s="7">
        <v>174771</v>
      </c>
      <c r="L17" s="7">
        <v>157053</v>
      </c>
      <c r="M17" s="7">
        <v>142795</v>
      </c>
      <c r="N17" s="7">
        <v>125181</v>
      </c>
      <c r="O17" s="7">
        <v>117045</v>
      </c>
      <c r="P17" s="7">
        <v>116456</v>
      </c>
      <c r="Q17" s="7">
        <v>117492</v>
      </c>
      <c r="R17" s="7">
        <v>116164</v>
      </c>
      <c r="S17" s="7">
        <v>117154</v>
      </c>
      <c r="T17" s="7">
        <v>116843</v>
      </c>
      <c r="U17" s="7">
        <v>125351</v>
      </c>
      <c r="V17" s="7">
        <v>119815</v>
      </c>
      <c r="W17" s="7">
        <v>132168</v>
      </c>
      <c r="X17" s="7">
        <v>139878</v>
      </c>
      <c r="Y17" s="7">
        <v>151710</v>
      </c>
      <c r="Z17" s="7">
        <v>158570</v>
      </c>
    </row>
    <row r="18" spans="1:26" ht="11.5" customHeight="1" x14ac:dyDescent="0.35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1.5" customHeight="1" x14ac:dyDescent="0.3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1.5" customHeight="1" x14ac:dyDescent="0.35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1.5" customHeight="1" x14ac:dyDescent="0.3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1.5" customHeight="1" x14ac:dyDescent="0.35">
      <c r="A22" s="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1.5" customHeight="1" x14ac:dyDescent="0.3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1.5" customHeight="1" x14ac:dyDescent="0.35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1.5" customHeight="1" x14ac:dyDescent="0.3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1.5" customHeight="1" x14ac:dyDescent="0.35">
      <c r="A26" s="1"/>
      <c r="B26" s="2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1"/>
  <sheetViews>
    <sheetView workbookViewId="0">
      <selection activeCell="A18" sqref="A18"/>
    </sheetView>
  </sheetViews>
  <sheetFormatPr baseColWidth="10" defaultColWidth="8.54296875" defaultRowHeight="14.5" x14ac:dyDescent="0.35"/>
  <cols>
    <col min="1" max="1" width="29.81640625" customWidth="1"/>
    <col min="2" max="2" width="18" customWidth="1"/>
    <col min="3" max="21" width="10" customWidth="1"/>
  </cols>
  <sheetData>
    <row r="1" spans="1:51" x14ac:dyDescent="0.35">
      <c r="A1" s="20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</row>
    <row r="2" spans="1:51" x14ac:dyDescent="0.35">
      <c r="A2" s="20"/>
      <c r="B2" s="19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1" x14ac:dyDescent="0.35">
      <c r="A3" s="20"/>
      <c r="B3" s="20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5" spans="1:51" x14ac:dyDescent="0.35">
      <c r="A5" s="19"/>
      <c r="B5" s="18"/>
      <c r="C5" s="20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x14ac:dyDescent="0.35">
      <c r="A6" s="19"/>
      <c r="B6" s="18"/>
      <c r="C6" s="20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x14ac:dyDescent="0.35">
      <c r="A7" s="19"/>
      <c r="B7" s="18"/>
      <c r="C7" s="20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x14ac:dyDescent="0.35">
      <c r="A8" s="1"/>
      <c r="B8" s="2"/>
    </row>
    <row r="9" spans="1:51" x14ac:dyDescent="0.35">
      <c r="A9" s="21"/>
      <c r="B9" s="29" t="s">
        <v>0</v>
      </c>
      <c r="C9" s="29" t="s">
        <v>1</v>
      </c>
      <c r="D9" s="29" t="s">
        <v>2</v>
      </c>
      <c r="E9" s="29" t="s">
        <v>3</v>
      </c>
      <c r="F9" s="29" t="s">
        <v>4</v>
      </c>
      <c r="G9" s="29" t="s">
        <v>5</v>
      </c>
      <c r="H9" s="29" t="s">
        <v>6</v>
      </c>
      <c r="I9" s="29" t="s">
        <v>7</v>
      </c>
      <c r="J9" s="29" t="s">
        <v>8</v>
      </c>
      <c r="K9" s="29" t="s">
        <v>9</v>
      </c>
      <c r="L9" s="29" t="s">
        <v>10</v>
      </c>
      <c r="M9" s="29" t="s">
        <v>11</v>
      </c>
      <c r="N9" s="29" t="s">
        <v>12</v>
      </c>
      <c r="O9" s="29" t="s">
        <v>13</v>
      </c>
      <c r="P9" s="29" t="s">
        <v>14</v>
      </c>
      <c r="Q9" s="29" t="s">
        <v>15</v>
      </c>
      <c r="R9" s="29" t="s">
        <v>16</v>
      </c>
      <c r="S9" s="29" t="s">
        <v>17</v>
      </c>
      <c r="T9" s="29" t="s">
        <v>18</v>
      </c>
      <c r="U9" s="29" t="s">
        <v>19</v>
      </c>
      <c r="V9" s="29" t="s">
        <v>20</v>
      </c>
      <c r="W9" s="29" t="s">
        <v>21</v>
      </c>
      <c r="X9" s="29" t="s">
        <v>22</v>
      </c>
      <c r="Y9" s="29" t="s">
        <v>23</v>
      </c>
      <c r="Z9" s="29" t="s">
        <v>24</v>
      </c>
    </row>
    <row r="10" spans="1:51" x14ac:dyDescent="0.35">
      <c r="A10" s="2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51" x14ac:dyDescent="0.35">
      <c r="A11" s="23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51" x14ac:dyDescent="0.35">
      <c r="A12" s="23"/>
      <c r="B12" s="26"/>
      <c r="C12" s="26"/>
      <c r="D12" s="26"/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8"/>
      <c r="P12" s="26"/>
      <c r="Q12" s="28"/>
      <c r="R12" s="26"/>
      <c r="S12" s="26"/>
      <c r="T12" s="26"/>
      <c r="U12" s="26"/>
      <c r="V12" s="26"/>
      <c r="W12" s="28"/>
      <c r="X12" s="26"/>
      <c r="Y12" s="26"/>
      <c r="Z12" s="26"/>
    </row>
    <row r="13" spans="1:51" x14ac:dyDescent="0.35">
      <c r="A13" s="23"/>
      <c r="B13" s="25"/>
      <c r="C13" s="27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7"/>
      <c r="W13" s="25"/>
      <c r="X13" s="25"/>
      <c r="Y13" s="25"/>
      <c r="Z13" s="25"/>
    </row>
    <row r="14" spans="1:51" x14ac:dyDescent="0.35">
      <c r="A14" s="23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51" x14ac:dyDescent="0.35">
      <c r="A15" s="23"/>
      <c r="B15" s="25"/>
      <c r="C15" s="25"/>
      <c r="D15" s="25"/>
      <c r="E15" s="25"/>
      <c r="F15" s="27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7"/>
      <c r="Z15" s="25"/>
    </row>
    <row r="16" spans="1:51" x14ac:dyDescent="0.35">
      <c r="A16" s="23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51" x14ac:dyDescent="0.35">
      <c r="A17" s="23" t="s">
        <v>28</v>
      </c>
      <c r="B17" s="27">
        <v>91015</v>
      </c>
      <c r="C17" s="25">
        <v>97421.9</v>
      </c>
      <c r="D17" s="25">
        <v>104606.3</v>
      </c>
      <c r="E17" s="25">
        <v>112338.6</v>
      </c>
      <c r="F17" s="25">
        <v>120490.2</v>
      </c>
      <c r="G17" s="25">
        <v>128010.5</v>
      </c>
      <c r="H17" s="27">
        <v>134524</v>
      </c>
      <c r="I17" s="25">
        <v>145669.70000000001</v>
      </c>
      <c r="J17" s="27">
        <v>156770</v>
      </c>
      <c r="K17" s="25">
        <v>155326.20000000001</v>
      </c>
      <c r="L17" s="25">
        <v>149210.6</v>
      </c>
      <c r="M17" s="25">
        <v>141387.9</v>
      </c>
      <c r="N17" s="25">
        <v>129394.7</v>
      </c>
      <c r="O17" s="25">
        <v>123271.4</v>
      </c>
      <c r="P17" s="25">
        <v>120505.4</v>
      </c>
      <c r="Q17" s="25">
        <v>119397.1</v>
      </c>
      <c r="R17" s="27">
        <v>118786</v>
      </c>
      <c r="S17" s="25">
        <v>122196.2</v>
      </c>
      <c r="T17" s="27">
        <v>125056</v>
      </c>
      <c r="U17" s="27">
        <v>128410</v>
      </c>
      <c r="V17" s="25">
        <v>119055.4</v>
      </c>
      <c r="W17" s="25">
        <v>126337.4</v>
      </c>
      <c r="X17" s="25">
        <v>146877.70000000001</v>
      </c>
      <c r="Y17" s="25">
        <v>155442.79999999999</v>
      </c>
      <c r="Z17" s="25">
        <v>162570.79999999999</v>
      </c>
    </row>
    <row r="18" spans="1:51" x14ac:dyDescent="0.35">
      <c r="A18" s="23"/>
      <c r="B18" s="26"/>
      <c r="C18" s="28"/>
      <c r="D18" s="26"/>
      <c r="E18" s="26"/>
      <c r="F18" s="26"/>
      <c r="G18" s="26"/>
      <c r="H18" s="26"/>
      <c r="I18" s="26"/>
      <c r="J18" s="26"/>
      <c r="K18" s="26"/>
      <c r="L18" s="28"/>
      <c r="M18" s="26"/>
      <c r="N18" s="26"/>
      <c r="O18" s="26"/>
      <c r="P18" s="26"/>
      <c r="Q18" s="26"/>
      <c r="R18" s="26"/>
      <c r="S18" s="26"/>
      <c r="T18" s="26"/>
      <c r="U18" s="28"/>
      <c r="V18" s="26"/>
      <c r="W18" s="26"/>
      <c r="X18" s="26"/>
      <c r="Y18" s="26"/>
      <c r="Z18" s="26"/>
    </row>
    <row r="19" spans="1:51" x14ac:dyDescent="0.35">
      <c r="A19" s="23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51" x14ac:dyDescent="0.35">
      <c r="A20" s="23"/>
      <c r="B20" s="26"/>
      <c r="C20" s="28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8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51" x14ac:dyDescent="0.35">
      <c r="A21" s="23"/>
      <c r="B21" s="25"/>
      <c r="C21" s="25"/>
      <c r="D21" s="27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7"/>
      <c r="T21" s="25"/>
      <c r="U21" s="25"/>
      <c r="V21" s="25"/>
      <c r="W21" s="25"/>
      <c r="X21" s="27"/>
      <c r="Y21" s="25"/>
      <c r="Z21" s="25"/>
    </row>
    <row r="22" spans="1:51" x14ac:dyDescent="0.35">
      <c r="A22" s="23"/>
      <c r="B22" s="26"/>
      <c r="C22" s="26"/>
      <c r="D22" s="26"/>
      <c r="E22" s="26"/>
      <c r="F22" s="28"/>
      <c r="G22" s="26"/>
      <c r="H22" s="26"/>
      <c r="I22" s="26"/>
      <c r="J22" s="26"/>
      <c r="K22" s="26"/>
      <c r="L22" s="26"/>
      <c r="M22" s="26"/>
      <c r="N22" s="26"/>
      <c r="O22" s="26"/>
      <c r="P22" s="28"/>
      <c r="Q22" s="26"/>
      <c r="R22" s="26"/>
      <c r="S22" s="26"/>
      <c r="T22" s="26"/>
      <c r="U22" s="26"/>
      <c r="V22" s="26"/>
      <c r="W22" s="26"/>
      <c r="X22" s="26"/>
      <c r="Y22" s="26"/>
      <c r="Z22" s="28"/>
    </row>
    <row r="23" spans="1:51" x14ac:dyDescent="0.35">
      <c r="A23" s="23"/>
      <c r="B23" s="27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51" x14ac:dyDescent="0.35">
      <c r="A24" s="23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51" x14ac:dyDescent="0.35">
      <c r="A25" s="23"/>
      <c r="B25" s="25"/>
      <c r="C25" s="25"/>
      <c r="D25" s="25"/>
      <c r="E25" s="25"/>
      <c r="F25" s="25"/>
      <c r="G25" s="25"/>
      <c r="H25" s="25"/>
      <c r="I25" s="27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51" x14ac:dyDescent="0.3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11"/>
      <c r="V26" s="11"/>
      <c r="W26" s="11"/>
      <c r="X26" s="11"/>
      <c r="Y26" s="11"/>
      <c r="Z26" s="11"/>
    </row>
    <row r="27" spans="1:51" x14ac:dyDescent="0.35">
      <c r="A27" s="19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x14ac:dyDescent="0.35">
      <c r="A28" s="19"/>
      <c r="B28" s="20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 x14ac:dyDescent="0.35">
      <c r="A29" s="19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x14ac:dyDescent="0.35">
      <c r="A30" s="19"/>
      <c r="B30" s="20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1:51" x14ac:dyDescent="0.35">
      <c r="A31" s="19"/>
      <c r="B31" s="20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tabSelected="1" workbookViewId="0">
      <selection activeCell="A10" sqref="A10"/>
    </sheetView>
  </sheetViews>
  <sheetFormatPr baseColWidth="10" defaultColWidth="11.453125" defaultRowHeight="14.5" x14ac:dyDescent="0.35"/>
  <sheetData>
    <row r="1" spans="1:27" x14ac:dyDescent="0.35">
      <c r="A1" s="17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x14ac:dyDescent="0.35">
      <c r="A2" s="17"/>
      <c r="B2" s="16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x14ac:dyDescent="0.35">
      <c r="A3" s="17"/>
      <c r="B3" s="17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5" spans="1:27" x14ac:dyDescent="0.35">
      <c r="A5" s="16"/>
      <c r="B5" s="15"/>
      <c r="C5" s="1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x14ac:dyDescent="0.35">
      <c r="A6" s="16"/>
      <c r="B6" s="15"/>
      <c r="C6" s="1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x14ac:dyDescent="0.35">
      <c r="A7" s="16"/>
      <c r="B7" s="15"/>
      <c r="C7" s="17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x14ac:dyDescent="0.35">
      <c r="A8" s="39"/>
      <c r="B8" s="40"/>
      <c r="C8" s="9"/>
      <c r="D8" s="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10" spans="1:27" x14ac:dyDescent="0.35">
      <c r="A10" s="3"/>
      <c r="B10" s="14" t="s">
        <v>0</v>
      </c>
      <c r="C10" s="14" t="s">
        <v>1</v>
      </c>
      <c r="D10" s="14" t="s">
        <v>2</v>
      </c>
      <c r="E10" s="14" t="s">
        <v>3</v>
      </c>
      <c r="F10" s="14" t="s">
        <v>4</v>
      </c>
      <c r="G10" s="14" t="s">
        <v>5</v>
      </c>
      <c r="H10" s="14" t="s">
        <v>6</v>
      </c>
      <c r="I10" s="14" t="s">
        <v>7</v>
      </c>
      <c r="J10" s="14" t="s">
        <v>8</v>
      </c>
      <c r="K10" s="14" t="s">
        <v>9</v>
      </c>
      <c r="L10" s="14" t="s">
        <v>10</v>
      </c>
      <c r="M10" s="14" t="s">
        <v>11</v>
      </c>
      <c r="N10" s="14" t="s">
        <v>12</v>
      </c>
      <c r="O10" s="14" t="s">
        <v>13</v>
      </c>
      <c r="P10" s="14" t="s">
        <v>14</v>
      </c>
      <c r="Q10" s="14" t="s">
        <v>15</v>
      </c>
      <c r="R10" s="14" t="s">
        <v>16</v>
      </c>
      <c r="S10" s="14" t="s">
        <v>17</v>
      </c>
      <c r="T10" s="14" t="s">
        <v>18</v>
      </c>
      <c r="U10" s="14" t="s">
        <v>19</v>
      </c>
      <c r="V10" s="14" t="s">
        <v>20</v>
      </c>
      <c r="W10" s="14" t="s">
        <v>21</v>
      </c>
      <c r="X10" s="14" t="s">
        <v>22</v>
      </c>
      <c r="Y10" s="14" t="s">
        <v>23</v>
      </c>
      <c r="Z10" s="14" t="s">
        <v>24</v>
      </c>
    </row>
    <row r="11" spans="1:27" x14ac:dyDescent="0.35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7" x14ac:dyDescent="0.35">
      <c r="A12" s="5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7" x14ac:dyDescent="0.35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0"/>
      <c r="O13" s="13"/>
      <c r="P13" s="13"/>
      <c r="Q13" s="13"/>
      <c r="R13" s="10"/>
      <c r="S13" s="13"/>
      <c r="T13" s="10"/>
      <c r="U13" s="13"/>
      <c r="V13" s="13"/>
      <c r="W13" s="13"/>
      <c r="X13" s="13"/>
      <c r="Y13" s="13"/>
      <c r="Z13" s="13"/>
    </row>
    <row r="14" spans="1:27" x14ac:dyDescent="0.35">
      <c r="A14" s="5"/>
      <c r="B14" s="11"/>
      <c r="C14" s="11"/>
      <c r="D14" s="11"/>
      <c r="E14" s="11"/>
      <c r="F14" s="12"/>
      <c r="G14" s="11"/>
      <c r="H14" s="11"/>
      <c r="I14" s="11"/>
      <c r="J14" s="11"/>
      <c r="K14" s="11"/>
      <c r="L14" s="12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7" x14ac:dyDescent="0.35">
      <c r="A15" s="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7" x14ac:dyDescent="0.35">
      <c r="A16" s="5"/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7" x14ac:dyDescent="0.35">
      <c r="A17" s="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7" x14ac:dyDescent="0.35">
      <c r="A18" s="5" t="s">
        <v>28</v>
      </c>
      <c r="B18" s="11">
        <v>35748.800000000003</v>
      </c>
      <c r="C18" s="11">
        <v>37741.699999999997</v>
      </c>
      <c r="D18" s="11">
        <v>37939.300000000003</v>
      </c>
      <c r="E18" s="11">
        <v>43311.6</v>
      </c>
      <c r="F18" s="11">
        <v>47311.199999999997</v>
      </c>
      <c r="G18" s="11">
        <v>41597.5</v>
      </c>
      <c r="H18" s="12">
        <v>51553</v>
      </c>
      <c r="I18" s="11">
        <v>58537.9</v>
      </c>
      <c r="J18" s="11">
        <v>55579.3</v>
      </c>
      <c r="K18" s="11">
        <v>47891.9</v>
      </c>
      <c r="L18" s="12">
        <v>37608</v>
      </c>
      <c r="M18" s="12">
        <v>28213</v>
      </c>
      <c r="N18" s="11">
        <v>22827.5</v>
      </c>
      <c r="O18" s="11">
        <v>20547.599999999999</v>
      </c>
      <c r="P18" s="11">
        <v>19779.5</v>
      </c>
      <c r="Q18" s="11">
        <v>19572.400000000001</v>
      </c>
      <c r="R18" s="11">
        <v>19832.099999999999</v>
      </c>
      <c r="S18" s="11">
        <v>21372.799999999999</v>
      </c>
      <c r="T18" s="11">
        <v>20465.7</v>
      </c>
      <c r="U18" s="11">
        <v>20315.2</v>
      </c>
      <c r="V18" s="11">
        <v>20607.099999999999</v>
      </c>
      <c r="W18" s="11">
        <v>25455.7</v>
      </c>
      <c r="X18" s="11">
        <v>32544.5</v>
      </c>
      <c r="Y18" s="11">
        <v>35689.699999999997</v>
      </c>
      <c r="Z18" s="11">
        <v>37971.300000000003</v>
      </c>
    </row>
    <row r="19" spans="1:27" x14ac:dyDescent="0.35">
      <c r="A19" s="5"/>
      <c r="B19" s="10"/>
      <c r="C19" s="13"/>
      <c r="D19" s="13"/>
      <c r="E19" s="10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0"/>
      <c r="V19" s="13"/>
      <c r="W19" s="13"/>
      <c r="X19" s="13"/>
      <c r="Y19" s="13"/>
      <c r="Z19" s="13"/>
    </row>
    <row r="20" spans="1:27" x14ac:dyDescent="0.35"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11"/>
      <c r="Z20" s="11"/>
    </row>
    <row r="21" spans="1:27" x14ac:dyDescent="0.35">
      <c r="A21" s="5"/>
      <c r="B21" s="13"/>
      <c r="C21" s="1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0"/>
      <c r="P21" s="13"/>
      <c r="Q21" s="13"/>
      <c r="R21" s="13"/>
      <c r="S21" s="13"/>
      <c r="T21" s="13"/>
      <c r="U21" s="13"/>
      <c r="V21" s="13"/>
      <c r="W21" s="13"/>
      <c r="X21" s="10"/>
      <c r="Y21" s="10"/>
      <c r="Z21" s="13"/>
    </row>
    <row r="22" spans="1:27" x14ac:dyDescent="0.35">
      <c r="A22" s="5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</row>
    <row r="23" spans="1:27" x14ac:dyDescent="0.35">
      <c r="A23" s="5"/>
      <c r="B23" s="1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0"/>
      <c r="O23" s="13"/>
      <c r="P23" s="13"/>
      <c r="Q23" s="13"/>
      <c r="R23" s="13"/>
      <c r="S23" s="10"/>
      <c r="T23" s="13"/>
      <c r="U23" s="13"/>
      <c r="V23" s="13"/>
      <c r="W23" s="13"/>
      <c r="X23" s="10"/>
      <c r="Y23" s="13"/>
      <c r="Z23" s="13"/>
    </row>
    <row r="24" spans="1:27" x14ac:dyDescent="0.35">
      <c r="A24" s="5"/>
      <c r="B24" s="11"/>
      <c r="C24" s="11"/>
      <c r="D24" s="12"/>
      <c r="E24" s="11"/>
      <c r="F24" s="11"/>
      <c r="G24" s="11"/>
      <c r="H24" s="12"/>
      <c r="I24" s="12"/>
      <c r="J24" s="11"/>
      <c r="K24" s="11"/>
      <c r="L24" s="11"/>
      <c r="M24" s="12"/>
      <c r="N24" s="11"/>
      <c r="O24" s="1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7" x14ac:dyDescent="0.3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7" x14ac:dyDescent="0.35">
      <c r="A26" s="5"/>
      <c r="B26" s="12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2"/>
      <c r="T26" s="11"/>
      <c r="U26" s="11"/>
      <c r="V26" s="11"/>
      <c r="W26" s="11"/>
      <c r="X26" s="11"/>
      <c r="Y26" s="11"/>
      <c r="Z26" s="11"/>
    </row>
    <row r="28" spans="1:27" x14ac:dyDescent="0.35">
      <c r="A28" s="16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x14ac:dyDescent="0.35">
      <c r="A29" s="16"/>
      <c r="B29" s="17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x14ac:dyDescent="0.35">
      <c r="A30" s="16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x14ac:dyDescent="0.35">
      <c r="A31" s="16"/>
      <c r="B31" s="17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6" spans="1:4" x14ac:dyDescent="0.35">
      <c r="A36" t="s">
        <v>29</v>
      </c>
    </row>
    <row r="37" spans="1:4" x14ac:dyDescent="0.35">
      <c r="A37" s="39"/>
      <c r="B37" s="40"/>
      <c r="C37" s="9"/>
      <c r="D3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"/>
  <sheetViews>
    <sheetView workbookViewId="0">
      <pane xSplit="1" topLeftCell="B1" activePane="topRight" state="frozen"/>
      <selection activeCell="A3" sqref="A3"/>
      <selection pane="topRight" activeCell="AB29" sqref="AB29"/>
    </sheetView>
  </sheetViews>
  <sheetFormatPr baseColWidth="10" defaultColWidth="8.7265625" defaultRowHeight="14.5" x14ac:dyDescent="0.35"/>
  <cols>
    <col min="1" max="1" width="13.81640625" customWidth="1"/>
    <col min="2" max="2" width="10" customWidth="1"/>
    <col min="3" max="3" width="14.1796875" customWidth="1"/>
    <col min="4" max="4" width="10" customWidth="1"/>
    <col min="5" max="5" width="14.54296875" customWidth="1"/>
    <col min="6" max="6" width="10" customWidth="1"/>
    <col min="7" max="7" width="10.453125" customWidth="1"/>
    <col min="8" max="8" width="10" customWidth="1"/>
    <col min="9" max="9" width="10.81640625" customWidth="1"/>
    <col min="10" max="10" width="10" customWidth="1"/>
    <col min="11" max="11" width="12.1796875" customWidth="1"/>
    <col min="12" max="12" width="10" customWidth="1"/>
    <col min="13" max="13" width="9.7265625" customWidth="1"/>
    <col min="14" max="14" width="10" customWidth="1"/>
    <col min="15" max="15" width="10.81640625" customWidth="1"/>
    <col min="16" max="16" width="10" customWidth="1"/>
    <col min="17" max="17" width="11.1796875" customWidth="1"/>
    <col min="18" max="18" width="10" customWidth="1"/>
    <col min="19" max="19" width="10.81640625" customWidth="1"/>
    <col min="20" max="20" width="10" customWidth="1"/>
    <col min="21" max="21" width="11.26953125" customWidth="1"/>
    <col min="22" max="22" width="10" customWidth="1"/>
    <col min="23" max="23" width="12.1796875" customWidth="1"/>
    <col min="24" max="24" width="10" customWidth="1"/>
    <col min="25" max="25" width="8.1796875" customWidth="1"/>
    <col min="26" max="26" width="10" customWidth="1"/>
    <col min="27" max="27" width="5" customWidth="1"/>
  </cols>
  <sheetData>
    <row r="1" spans="1:26" x14ac:dyDescent="0.35">
      <c r="A1" s="2"/>
    </row>
    <row r="2" spans="1:26" x14ac:dyDescent="0.35">
      <c r="A2" s="2"/>
      <c r="B2" s="1"/>
    </row>
    <row r="3" spans="1:26" x14ac:dyDescent="0.35">
      <c r="A3" s="2"/>
      <c r="B3" s="2"/>
    </row>
    <row r="5" spans="1:26" x14ac:dyDescent="0.35">
      <c r="A5" s="1"/>
      <c r="C5" s="2"/>
    </row>
    <row r="6" spans="1:26" x14ac:dyDescent="0.35">
      <c r="A6" s="1"/>
      <c r="C6" s="2"/>
    </row>
    <row r="7" spans="1:26" x14ac:dyDescent="0.35">
      <c r="A7" s="1"/>
      <c r="C7" s="2"/>
    </row>
    <row r="9" spans="1:26" x14ac:dyDescent="0.35">
      <c r="A9" s="30"/>
      <c r="B9" s="38" t="s">
        <v>0</v>
      </c>
      <c r="C9" s="38" t="s">
        <v>1</v>
      </c>
      <c r="D9" s="38" t="s">
        <v>2</v>
      </c>
      <c r="E9" s="38" t="s">
        <v>3</v>
      </c>
      <c r="F9" s="38" t="s">
        <v>4</v>
      </c>
      <c r="G9" s="38" t="s">
        <v>5</v>
      </c>
      <c r="H9" s="38" t="s">
        <v>6</v>
      </c>
      <c r="I9" s="38" t="s">
        <v>7</v>
      </c>
      <c r="J9" s="38" t="s">
        <v>8</v>
      </c>
      <c r="K9" s="38" t="s">
        <v>9</v>
      </c>
      <c r="L9" s="38" t="s">
        <v>10</v>
      </c>
      <c r="M9" s="38" t="s">
        <v>11</v>
      </c>
      <c r="N9" s="38" t="s">
        <v>12</v>
      </c>
      <c r="O9" s="38" t="s">
        <v>13</v>
      </c>
      <c r="P9" s="38" t="s">
        <v>14</v>
      </c>
      <c r="Q9" s="38" t="s">
        <v>15</v>
      </c>
      <c r="R9" s="38" t="s">
        <v>16</v>
      </c>
      <c r="S9" s="38" t="s">
        <v>17</v>
      </c>
      <c r="T9" s="38" t="s">
        <v>18</v>
      </c>
      <c r="U9" s="38" t="s">
        <v>19</v>
      </c>
      <c r="V9" s="38" t="s">
        <v>20</v>
      </c>
      <c r="W9" s="38" t="s">
        <v>21</v>
      </c>
      <c r="X9" s="38" t="s">
        <v>22</v>
      </c>
      <c r="Y9" s="38" t="s">
        <v>23</v>
      </c>
      <c r="Z9" s="38" t="s">
        <v>24</v>
      </c>
    </row>
    <row r="10" spans="1:26" x14ac:dyDescent="0.35">
      <c r="A10" s="31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x14ac:dyDescent="0.35">
      <c r="A11" s="32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35">
      <c r="A12" s="32"/>
      <c r="B12" s="35"/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7"/>
      <c r="N12" s="35"/>
      <c r="O12" s="37"/>
      <c r="P12" s="35"/>
      <c r="Q12" s="35"/>
      <c r="R12" s="35"/>
      <c r="S12" s="37"/>
      <c r="T12" s="35"/>
      <c r="U12" s="35"/>
      <c r="V12" s="35"/>
      <c r="W12" s="35"/>
      <c r="X12" s="35"/>
      <c r="Y12" s="37"/>
      <c r="Z12" s="35"/>
    </row>
    <row r="13" spans="1:26" x14ac:dyDescent="0.35">
      <c r="A13" s="32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6"/>
      <c r="T13" s="34"/>
      <c r="U13" s="34"/>
      <c r="V13" s="34"/>
      <c r="W13" s="34"/>
      <c r="X13" s="34"/>
      <c r="Y13" s="34"/>
      <c r="Z13" s="34"/>
    </row>
    <row r="14" spans="1:26" x14ac:dyDescent="0.35">
      <c r="A14" s="32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5">
      <c r="A15" s="32"/>
      <c r="B15" s="34"/>
      <c r="C15" s="34"/>
      <c r="D15" s="34"/>
      <c r="E15" s="34"/>
      <c r="F15" s="36"/>
      <c r="G15" s="34"/>
      <c r="H15" s="34"/>
      <c r="I15" s="34"/>
      <c r="J15" s="34"/>
      <c r="K15" s="34"/>
      <c r="L15" s="34"/>
      <c r="M15" s="34"/>
      <c r="N15" s="36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x14ac:dyDescent="0.35">
      <c r="A16" s="32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5">
      <c r="A17" s="32" t="s">
        <v>28</v>
      </c>
      <c r="B17" s="34">
        <v>26106.7</v>
      </c>
      <c r="C17" s="36">
        <v>28483</v>
      </c>
      <c r="D17" s="36">
        <v>31430</v>
      </c>
      <c r="E17" s="36">
        <v>33918</v>
      </c>
      <c r="F17" s="36">
        <v>37108</v>
      </c>
      <c r="G17" s="36">
        <v>39889</v>
      </c>
      <c r="H17" s="36">
        <v>43911</v>
      </c>
      <c r="I17" s="36">
        <v>47750</v>
      </c>
      <c r="J17" s="36">
        <v>50189</v>
      </c>
      <c r="K17" s="36">
        <v>55563</v>
      </c>
      <c r="L17" s="34">
        <v>50341.9</v>
      </c>
      <c r="M17" s="34">
        <v>45008.1</v>
      </c>
      <c r="N17" s="34">
        <v>42008.1</v>
      </c>
      <c r="O17" s="34">
        <v>37364.9</v>
      </c>
      <c r="P17" s="36">
        <v>36668</v>
      </c>
      <c r="Q17" s="34">
        <v>36484.1</v>
      </c>
      <c r="R17" s="34">
        <v>36177.699999999997</v>
      </c>
      <c r="S17" s="34">
        <v>36443.4</v>
      </c>
      <c r="T17" s="34">
        <v>35733.800000000003</v>
      </c>
      <c r="U17" s="34">
        <v>37086.199999999997</v>
      </c>
      <c r="V17" s="34">
        <v>38183.699999999997</v>
      </c>
      <c r="W17" s="34">
        <v>39796.1</v>
      </c>
      <c r="X17" s="36">
        <v>41188</v>
      </c>
      <c r="Y17" s="34">
        <v>43685.7</v>
      </c>
      <c r="Z17" s="34">
        <v>44006.5</v>
      </c>
    </row>
    <row r="18" spans="1:26" x14ac:dyDescent="0.35">
      <c r="A18" s="32"/>
      <c r="B18" s="35"/>
      <c r="C18" s="35"/>
      <c r="D18" s="35"/>
      <c r="E18" s="35"/>
      <c r="F18" s="35"/>
      <c r="G18" s="35"/>
      <c r="H18" s="35"/>
      <c r="I18" s="37"/>
      <c r="J18" s="35"/>
      <c r="K18" s="35"/>
      <c r="L18" s="35"/>
      <c r="M18" s="35"/>
      <c r="N18" s="35"/>
      <c r="O18" s="35"/>
      <c r="P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x14ac:dyDescent="0.35">
      <c r="A19" s="32"/>
      <c r="B19" s="34"/>
      <c r="C19" s="34"/>
      <c r="D19" s="34"/>
      <c r="E19" s="34"/>
      <c r="F19" s="36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x14ac:dyDescent="0.35">
      <c r="A20" s="32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x14ac:dyDescent="0.35">
      <c r="A21" s="32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x14ac:dyDescent="0.35">
      <c r="A22" s="32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7"/>
      <c r="U22" s="35"/>
      <c r="V22" s="35"/>
      <c r="W22" s="35"/>
      <c r="X22" s="35"/>
      <c r="Y22" s="35"/>
      <c r="Z22" s="35"/>
    </row>
    <row r="23" spans="1:26" x14ac:dyDescent="0.35">
      <c r="A23" s="32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x14ac:dyDescent="0.35">
      <c r="A24" s="32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x14ac:dyDescent="0.35">
      <c r="A25" s="32"/>
      <c r="B25" s="34"/>
      <c r="C25" s="34"/>
      <c r="D25" s="34"/>
      <c r="E25" s="34"/>
      <c r="F25" s="34"/>
      <c r="G25" s="36"/>
      <c r="H25" s="34"/>
      <c r="I25" s="34"/>
      <c r="J25" s="34"/>
      <c r="K25" s="34"/>
      <c r="L25" s="34"/>
      <c r="M25" s="34"/>
      <c r="N25" s="34"/>
      <c r="O25" s="34"/>
      <c r="P25" s="36"/>
      <c r="Q25" s="34"/>
      <c r="R25" s="34"/>
      <c r="S25" s="36"/>
      <c r="T25" s="34"/>
      <c r="U25" s="36"/>
      <c r="V25" s="34"/>
      <c r="W25" s="34"/>
      <c r="X25" s="34"/>
      <c r="Y25" s="34"/>
      <c r="Z25" s="34"/>
    </row>
    <row r="27" spans="1:26" x14ac:dyDescent="0.35">
      <c r="A27" s="1"/>
    </row>
    <row r="28" spans="1:26" x14ac:dyDescent="0.35">
      <c r="A28" s="1"/>
      <c r="B28" s="2"/>
    </row>
    <row r="29" spans="1:26" x14ac:dyDescent="0.35">
      <c r="A29" s="1"/>
    </row>
    <row r="30" spans="1:26" x14ac:dyDescent="0.35">
      <c r="A30" s="1"/>
      <c r="B30" s="2"/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06A5FD658B1341A857EFAF39705604" ma:contentTypeVersion="18" ma:contentTypeDescription="Crée un document." ma:contentTypeScope="" ma:versionID="408b64dff8efba6f2c6bc7a46422bc65">
  <xsd:schema xmlns:xsd="http://www.w3.org/2001/XMLSchema" xmlns:xs="http://www.w3.org/2001/XMLSchema" xmlns:p="http://schemas.microsoft.com/office/2006/metadata/properties" xmlns:ns3="347b55ef-6e6c-41a2-ae64-7fa4f8f0c077" xmlns:ns4="f2884fb2-fd18-4e69-a444-1d27968e3b53" targetNamespace="http://schemas.microsoft.com/office/2006/metadata/properties" ma:root="true" ma:fieldsID="77571764d1445cec636c77bf7fa1579b" ns3:_="" ns4:_="">
    <xsd:import namespace="347b55ef-6e6c-41a2-ae64-7fa4f8f0c077"/>
    <xsd:import namespace="f2884fb2-fd18-4e69-a444-1d27968e3b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b55ef-6e6c-41a2-ae64-7fa4f8f0c0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84fb2-fd18-4e69-a444-1d27968e3b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7b55ef-6e6c-41a2-ae64-7fa4f8f0c077" xsi:nil="true"/>
  </documentManagement>
</p:properties>
</file>

<file path=customXml/itemProps1.xml><?xml version="1.0" encoding="utf-8"?>
<ds:datastoreItem xmlns:ds="http://schemas.openxmlformats.org/officeDocument/2006/customXml" ds:itemID="{E4E0421F-A1EF-4D7F-B986-CA4FE831A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b55ef-6e6c-41a2-ae64-7fa4f8f0c077"/>
    <ds:schemaRef ds:uri="f2884fb2-fd18-4e69-a444-1d27968e3b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752F42-11A7-48FC-954B-FE1E0FD144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761E3A-12D8-48CF-AA6F-5BB292E5BB1C}">
  <ds:schemaRefs>
    <ds:schemaRef ds:uri="http://schemas.microsoft.com/office/2006/metadata/properties"/>
    <ds:schemaRef ds:uri="http://schemas.microsoft.com/office/infopath/2007/PartnerControls"/>
    <ds:schemaRef ds:uri="347b55ef-6e6c-41a2-ae64-7fa4f8f0c0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Recap</vt:lpstr>
      <vt:lpstr>Revenu disponible brut</vt:lpstr>
      <vt:lpstr>Consommation</vt:lpstr>
      <vt:lpstr>Investissement</vt:lpstr>
      <vt:lpstr>Dépenses publiques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Amine Belbachir</cp:lastModifiedBy>
  <cp:revision/>
  <dcterms:created xsi:type="dcterms:W3CDTF">2020-11-04T19:34:08Z</dcterms:created>
  <dcterms:modified xsi:type="dcterms:W3CDTF">2025-12-17T14:56:14Z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0x0101001906A5FD658B1341A857EFAF39705604</vt:lpwstr>
  </property>
</Properties>
</file>